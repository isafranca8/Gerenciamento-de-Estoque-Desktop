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06688BB5-2007-471A-8168-36ACB676F151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Relatório Geral" sheetId="1" r:id="rId1"/>
    <sheet name="Macarrão" sheetId="2" r:id="rId2"/>
    <sheet name="Feijão" sheetId="3" r:id="rId3"/>
    <sheet name="Arroz" sheetId="4" r:id="rId4"/>
    <sheet name="Maçã" sheetId="5" r:id="rId5"/>
    <sheet name="Ervilh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G6" i="1"/>
  <c r="G5" i="1"/>
  <c r="G4" i="1"/>
  <c r="G3" i="1"/>
  <c r="G2" i="1"/>
  <c r="F6" i="1"/>
  <c r="F5" i="1"/>
  <c r="F4" i="1"/>
  <c r="F3" i="1"/>
  <c r="F2" i="1"/>
  <c r="E7" i="1"/>
</calcChain>
</file>

<file path=xl/sharedStrings.xml><?xml version="1.0" encoding="utf-8"?>
<sst xmlns="http://schemas.openxmlformats.org/spreadsheetml/2006/main" count="68" uniqueCount="22">
  <si>
    <t>Produtos</t>
  </si>
  <si>
    <t>Estoque</t>
  </si>
  <si>
    <t>Importância</t>
  </si>
  <si>
    <t>Última Movimentação</t>
  </si>
  <si>
    <t>Peso</t>
  </si>
  <si>
    <t>Parcial</t>
  </si>
  <si>
    <t>Acumulada</t>
  </si>
  <si>
    <t>Classe ABC</t>
  </si>
  <si>
    <t>Macarrão</t>
  </si>
  <si>
    <t>Alto</t>
  </si>
  <si>
    <t>Saída</t>
  </si>
  <si>
    <t>Feijão</t>
  </si>
  <si>
    <t>Baixo</t>
  </si>
  <si>
    <t>Alta</t>
  </si>
  <si>
    <t>Entrada</t>
  </si>
  <si>
    <t>Arroz</t>
  </si>
  <si>
    <t>Média</t>
  </si>
  <si>
    <t>Maçã</t>
  </si>
  <si>
    <t>Baixa</t>
  </si>
  <si>
    <t>Ervilha</t>
  </si>
  <si>
    <t>Médio</t>
  </si>
  <si>
    <t xml:space="preserve">Baixa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</si>
</sst>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theme="1"/>
      <name val="Arial"/>
    </font>
    <font>
      <b/>
      <sz val="14"/>
      <color theme="1"/>
      <name val="Arial"/>
    </font>
    <font>
      <b/>
      <sz val="14"/>
      <color rgb="FF000000"/>
      <name val="Arial"/>
    </font>
    <font>
      <sz val="12"/>
      <color theme="4" tint="0.59999389629810485"/>
      <name val="Arial"/>
    </font>
    <font>
      <sz val="11"/>
      <color theme="4" tint="0.59999389629810485"/>
      <name val="Aptos Narrow"/>
      <family val="2"/>
      <scheme val="minor"/>
    </font>
    <font>
      <b/>
      <sz val="14"/>
      <color theme="4" tint="0.3999755851924192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Curva ABC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Peso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'Relatório Geral'!$A$2:$A$6</c:f>
              <c:strCache>
                <c:ptCount val="5"/>
                <c:pt idx="0">
                  <c:v>Macarrão</c:v>
                </c:pt>
                <c:pt idx="1">
                  <c:v>Feijão</c:v>
                </c:pt>
                <c:pt idx="2">
                  <c:v>Arroz</c:v>
                </c:pt>
                <c:pt idx="3">
                  <c:v>Maçã</c:v>
                </c:pt>
                <c:pt idx="4">
                  <c:v>Ervilha</c:v>
                </c:pt>
              </c:strCache>
            </c:strRef>
          </c:cat>
          <c:val>
            <c:numRef>
              <c:f>'Relatório Geral'!$E$2:$E$6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61A-4A4E-8A52-AD6904585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33960"/>
        <c:axId val="521506312"/>
      </c:barChart>
      <c:lineChart>
        <c:grouping val="standard"/>
        <c:varyColors val="0"/>
        <c:ser>
          <c:idx val="1"/>
          <c:order val="1"/>
          <c:tx>
            <c:v>Acumulada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'Relatório Geral'!$A$2:$A$6</c:f>
              <c:strCache>
                <c:ptCount val="5"/>
                <c:pt idx="0">
                  <c:v>Macarrão</c:v>
                </c:pt>
                <c:pt idx="1">
                  <c:v>Feijão</c:v>
                </c:pt>
                <c:pt idx="2">
                  <c:v>Arroz</c:v>
                </c:pt>
                <c:pt idx="3">
                  <c:v>Maçã</c:v>
                </c:pt>
                <c:pt idx="4">
                  <c:v>Ervilha</c:v>
                </c:pt>
              </c:strCache>
            </c:strRef>
          </c:cat>
          <c:val>
            <c:numRef>
              <c:f>'Relatório Geral'!$F$2:$F$6</c:f>
              <c:numCache>
                <c:formatCode>General</c:formatCode>
                <c:ptCount val="5"/>
                <c:pt idx="0">
                  <c:v>0.3</c:v>
                </c:pt>
                <c:pt idx="1">
                  <c:v>0.3</c:v>
                </c:pt>
                <c:pt idx="2">
                  <c:v>0.2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61A-4A4E-8A52-AD6904585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080712"/>
        <c:axId val="1931074568"/>
      </c:lineChart>
      <c:valAx>
        <c:axId val="5215063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33960"/>
        <c:crosses val="max"/>
        <c:crossBetween val="between"/>
      </c:valAx>
      <c:catAx>
        <c:axId val="52153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06312"/>
        <c:crosses val="autoZero"/>
        <c:auto val="1"/>
        <c:lblAlgn val="ctr"/>
        <c:lblOffset val="100"/>
        <c:noMultiLvlLbl val="0"/>
      </c:catAx>
      <c:valAx>
        <c:axId val="1931074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80712"/>
        <c:crosses val="autoZero"/>
        <c:crossBetween val="between"/>
      </c:valAx>
      <c:catAx>
        <c:axId val="1931080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074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8</xdr:row>
      <xdr:rowOff>66675</xdr:rowOff>
    </xdr:from>
    <xdr:to>
      <xdr:col>3</xdr:col>
      <xdr:colOff>1743075</xdr:colOff>
      <xdr:row>22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040F6E-DDCD-7DB4-A7F8-1BFF4CEAAA42}"/>
            </a:ext>
            <a:ext uri="{147F2762-F138-4A5C-976F-8EAC2B608ADB}">
              <a16:predDERef xmlns:a16="http://schemas.microsoft.com/office/drawing/2014/main" pred="{EB40A0D7-D490-80B1-F7E4-2A97F989E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D3" sqref="D3"/>
    </sheetView>
  </sheetViews>
  <sheetFormatPr defaultRowHeight="15"/>
  <cols>
    <col min="1" max="1" width="18.42578125" bestFit="1" customWidth="1"/>
    <col min="2" max="2" width="12.140625" bestFit="1" customWidth="1"/>
    <col min="3" max="3" width="16.85546875" bestFit="1" customWidth="1"/>
    <col min="4" max="4" width="29.5703125" bestFit="1" customWidth="1"/>
    <col min="5" max="5" width="7.85546875" bestFit="1" customWidth="1"/>
    <col min="6" max="6" width="10.28515625" bestFit="1" customWidth="1"/>
    <col min="7" max="7" width="15.5703125" bestFit="1" customWidth="1"/>
    <col min="8" max="8" width="16.85546875" bestFit="1" customWidth="1"/>
  </cols>
  <sheetData>
    <row r="1" spans="1:8" ht="18">
      <c r="A1" s="2" t="s">
        <v>0</v>
      </c>
      <c r="B1" s="2" t="s">
        <v>1</v>
      </c>
      <c r="C1" s="2" t="s">
        <v>2</v>
      </c>
      <c r="D1" s="3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.75">
      <c r="A2" s="1" t="s">
        <v>8</v>
      </c>
      <c r="B2" s="1" t="s">
        <v>9</v>
      </c>
      <c r="C2" s="1" t="s">
        <v>9</v>
      </c>
      <c r="D2" s="1" t="s">
        <v>10</v>
      </c>
      <c r="E2" s="4">
        <v>3</v>
      </c>
      <c r="F2" s="4">
        <f>E2 / $E$7</f>
        <v>0.3</v>
      </c>
      <c r="G2" s="4">
        <f>F2</f>
        <v>0.3</v>
      </c>
      <c r="H2" s="4" t="str">
        <f>IF(G2&lt;=0.7,"A",IF(G2&lt;=0.9,"B","C"))</f>
        <v>A</v>
      </c>
    </row>
    <row r="3" spans="1:8" ht="15.75">
      <c r="A3" s="1" t="s">
        <v>11</v>
      </c>
      <c r="B3" s="1" t="s">
        <v>12</v>
      </c>
      <c r="C3" s="1" t="s">
        <v>13</v>
      </c>
      <c r="D3" s="1" t="s">
        <v>14</v>
      </c>
      <c r="E3" s="4">
        <v>3</v>
      </c>
      <c r="F3" s="4">
        <f>E3 / $E$7</f>
        <v>0.3</v>
      </c>
      <c r="G3" s="4">
        <f>G2 + F3</f>
        <v>0.6</v>
      </c>
      <c r="H3" s="4" t="str">
        <f>IF(G3&lt;=0.7,"A",IF(G3&lt;=0.9,"B","C"))</f>
        <v>A</v>
      </c>
    </row>
    <row r="4" spans="1:8" ht="15.75">
      <c r="A4" s="1" t="s">
        <v>15</v>
      </c>
      <c r="B4" s="1" t="s">
        <v>9</v>
      </c>
      <c r="C4" s="1" t="s">
        <v>16</v>
      </c>
      <c r="D4" s="1" t="s">
        <v>14</v>
      </c>
      <c r="E4" s="4">
        <v>2</v>
      </c>
      <c r="F4" s="4">
        <f>E4 / $E$7</f>
        <v>0.2</v>
      </c>
      <c r="G4" s="4">
        <f>G3 + F4</f>
        <v>0.8</v>
      </c>
      <c r="H4" s="4" t="str">
        <f>IF(G4&lt;=0.7,"A",IF(G4&lt;=0.9,"B","C"))</f>
        <v>B</v>
      </c>
    </row>
    <row r="5" spans="1:8" ht="15.75">
      <c r="A5" s="1" t="s">
        <v>17</v>
      </c>
      <c r="B5" s="1" t="s">
        <v>12</v>
      </c>
      <c r="C5" s="1" t="s">
        <v>18</v>
      </c>
      <c r="D5" s="1" t="s">
        <v>14</v>
      </c>
      <c r="E5" s="4">
        <v>1</v>
      </c>
      <c r="F5" s="4">
        <f>E5 / $E$7</f>
        <v>0.1</v>
      </c>
      <c r="G5" s="4">
        <f>G4 + F5</f>
        <v>0.9</v>
      </c>
      <c r="H5" s="4" t="str">
        <f>IF(G5&lt;=0.7,"A",IF(G5&lt;=0.9,"B","C"))</f>
        <v>B</v>
      </c>
    </row>
    <row r="6" spans="1:8" ht="15.75">
      <c r="A6" s="1" t="s">
        <v>19</v>
      </c>
      <c r="B6" s="1" t="s">
        <v>20</v>
      </c>
      <c r="C6" s="1" t="s">
        <v>21</v>
      </c>
      <c r="D6" s="1" t="s">
        <v>10</v>
      </c>
      <c r="E6" s="4">
        <v>1</v>
      </c>
      <c r="F6" s="4">
        <f>E6 / $E$7</f>
        <v>0.1</v>
      </c>
      <c r="G6" s="4">
        <f>G5 + F6</f>
        <v>1</v>
      </c>
      <c r="H6" s="4" t="str">
        <f>IF(G6&lt;=0.7,"A",IF(G6&lt;=0.9,"B","C"))</f>
        <v>C</v>
      </c>
    </row>
    <row r="7" spans="1:8" ht="15.75">
      <c r="A7" s="1"/>
      <c r="B7" s="1"/>
      <c r="C7" s="1"/>
      <c r="E7" s="4">
        <f>SUM(E2:E6)</f>
        <v>10</v>
      </c>
      <c r="F7" s="5"/>
      <c r="G7" s="5"/>
      <c r="H7" s="5"/>
    </row>
  </sheetData>
  <sortState xmlns:xlrd2="http://schemas.microsoft.com/office/spreadsheetml/2017/richdata2" ref="A2:E6">
    <sortCondition descending="1" ref="E2:E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6808-ABA8-4367-A48F-8E594C0C8B90}">
  <dimension ref="A1:D2"/>
  <sheetViews>
    <sheetView workbookViewId="0">
      <selection sqref="A1:D2"/>
    </sheetView>
  </sheetViews>
  <sheetFormatPr defaultRowHeight="15"/>
  <cols>
    <col min="1" max="1" width="13.28515625" bestFit="1" customWidth="1"/>
    <col min="2" max="2" width="12.140625" bestFit="1" customWidth="1"/>
    <col min="3" max="3" width="16.85546875" bestFit="1" customWidth="1"/>
    <col min="4" max="4" width="29.5703125" bestFit="1" customWidth="1"/>
  </cols>
  <sheetData>
    <row r="1" spans="1:4" ht="18">
      <c r="A1" s="2" t="s">
        <v>0</v>
      </c>
      <c r="B1" s="2" t="s">
        <v>1</v>
      </c>
      <c r="C1" s="2" t="s">
        <v>2</v>
      </c>
      <c r="D1" s="3" t="s">
        <v>3</v>
      </c>
    </row>
    <row r="2" spans="1:4" ht="15.75">
      <c r="A2" s="1" t="s">
        <v>8</v>
      </c>
      <c r="B2" s="1" t="s">
        <v>9</v>
      </c>
      <c r="C2" s="1" t="s">
        <v>9</v>
      </c>
      <c r="D2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6427-7F75-45AE-BB8C-96497B298E9E}">
  <dimension ref="A1:D2"/>
  <sheetViews>
    <sheetView workbookViewId="0">
      <selection activeCell="D20" sqref="D20"/>
    </sheetView>
  </sheetViews>
  <sheetFormatPr defaultRowHeight="15"/>
  <cols>
    <col min="1" max="1" width="13.28515625" bestFit="1" customWidth="1"/>
    <col min="2" max="2" width="12.140625" bestFit="1" customWidth="1"/>
    <col min="3" max="3" width="16.85546875" bestFit="1" customWidth="1"/>
    <col min="4" max="4" width="29.5703125" bestFit="1" customWidth="1"/>
  </cols>
  <sheetData>
    <row r="1" spans="1:4" ht="18">
      <c r="A1" s="2" t="s">
        <v>0</v>
      </c>
      <c r="B1" s="2" t="s">
        <v>1</v>
      </c>
      <c r="C1" s="2" t="s">
        <v>2</v>
      </c>
      <c r="D1" s="3" t="s">
        <v>3</v>
      </c>
    </row>
    <row r="2" spans="1:4" ht="15.75">
      <c r="A2" s="1" t="s">
        <v>11</v>
      </c>
      <c r="B2" s="1" t="s">
        <v>12</v>
      </c>
      <c r="C2" s="1" t="s">
        <v>13</v>
      </c>
      <c r="D2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55D2-D742-4942-95F4-7FE7DE08C092}">
  <dimension ref="A1:D2"/>
  <sheetViews>
    <sheetView workbookViewId="0">
      <selection activeCell="A2" sqref="A2:XFD2"/>
    </sheetView>
  </sheetViews>
  <sheetFormatPr defaultRowHeight="15"/>
  <cols>
    <col min="1" max="1" width="13.28515625" bestFit="1" customWidth="1"/>
    <col min="2" max="2" width="12.140625" bestFit="1" customWidth="1"/>
    <col min="3" max="3" width="16.85546875" bestFit="1" customWidth="1"/>
    <col min="4" max="4" width="29.5703125" bestFit="1" customWidth="1"/>
  </cols>
  <sheetData>
    <row r="1" spans="1:4" ht="18">
      <c r="A1" s="2" t="s">
        <v>0</v>
      </c>
      <c r="B1" s="2" t="s">
        <v>1</v>
      </c>
      <c r="C1" s="2" t="s">
        <v>2</v>
      </c>
      <c r="D1" s="3" t="s">
        <v>3</v>
      </c>
    </row>
    <row r="2" spans="1:4" ht="15.75">
      <c r="A2" s="1" t="s">
        <v>15</v>
      </c>
      <c r="B2" s="1" t="s">
        <v>9</v>
      </c>
      <c r="C2" s="1" t="s">
        <v>16</v>
      </c>
      <c r="D2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26A9-CB3F-4BD2-B957-C38E09A25C89}">
  <dimension ref="A1:D2"/>
  <sheetViews>
    <sheetView workbookViewId="0">
      <selection activeCell="C4" sqref="C4"/>
    </sheetView>
  </sheetViews>
  <sheetFormatPr defaultRowHeight="15"/>
  <cols>
    <col min="1" max="1" width="13.28515625" bestFit="1" customWidth="1"/>
    <col min="2" max="2" width="12.140625" bestFit="1" customWidth="1"/>
    <col min="3" max="3" width="16.85546875" bestFit="1" customWidth="1"/>
    <col min="4" max="4" width="29.5703125" bestFit="1" customWidth="1"/>
  </cols>
  <sheetData>
    <row r="1" spans="1:4" ht="18">
      <c r="A1" s="2" t="s">
        <v>0</v>
      </c>
      <c r="B1" s="2" t="s">
        <v>1</v>
      </c>
      <c r="C1" s="2" t="s">
        <v>2</v>
      </c>
      <c r="D1" s="3" t="s">
        <v>3</v>
      </c>
    </row>
    <row r="2" spans="1:4" ht="15.75">
      <c r="A2" s="1" t="s">
        <v>17</v>
      </c>
      <c r="B2" s="1" t="s">
        <v>12</v>
      </c>
      <c r="C2" s="1" t="s">
        <v>18</v>
      </c>
      <c r="D2" s="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03D3-3F39-4E7A-98CE-765CB1F8EB5E}">
  <dimension ref="A1:D2"/>
  <sheetViews>
    <sheetView tabSelected="1" workbookViewId="0">
      <selection activeCell="C8" sqref="C8"/>
    </sheetView>
  </sheetViews>
  <sheetFormatPr defaultRowHeight="15"/>
  <cols>
    <col min="1" max="1" width="13.28515625" bestFit="1" customWidth="1"/>
    <col min="2" max="2" width="12.140625" bestFit="1" customWidth="1"/>
    <col min="3" max="3" width="16.85546875" bestFit="1" customWidth="1"/>
    <col min="4" max="4" width="29.5703125" bestFit="1" customWidth="1"/>
  </cols>
  <sheetData>
    <row r="1" spans="1:4" ht="18">
      <c r="A1" s="2" t="s">
        <v>0</v>
      </c>
      <c r="B1" s="2" t="s">
        <v>1</v>
      </c>
      <c r="C1" s="2" t="s">
        <v>2</v>
      </c>
      <c r="D1" s="3" t="s">
        <v>3</v>
      </c>
    </row>
    <row r="2" spans="1:4" ht="15.75">
      <c r="A2" s="1" t="s">
        <v>19</v>
      </c>
      <c r="B2" s="1" t="s">
        <v>20</v>
      </c>
      <c r="C2" s="1" t="s">
        <v>21</v>
      </c>
      <c r="D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2025-12-11T01:18:52Z</dcterms:created>
  <dcterms:modified xsi:type="dcterms:W3CDTF">2025-12-11T16:44:24Z</dcterms:modified>
  <cp:category/>
  <cp:contentStatus/>
</cp:coreProperties>
</file>